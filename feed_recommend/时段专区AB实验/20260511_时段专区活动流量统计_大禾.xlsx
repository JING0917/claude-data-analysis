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taanalysis_dahe/Desktop/"/>
    </mc:Choice>
  </mc:AlternateContent>
  <xr:revisionPtr revIDLastSave="0" documentId="13_ncr:1_{4F73D7FA-049B-7B43-B667-97094D46A0EB}" xr6:coauthVersionLast="47" xr6:coauthVersionMax="47" xr10:uidLastSave="{00000000-0000-0000-0000-000000000000}"/>
  <bookViews>
    <workbookView xWindow="0" yWindow="500" windowWidth="28800" windowHeight="15800" activeTab="1" xr2:uid="{00000000-000D-0000-FFFF-FFFF00000000}"/>
  </bookViews>
  <sheets>
    <sheet name="汇总数据" sheetId="1" r:id="rId1"/>
    <sheet name="明细数据" sheetId="2" r:id="rId2"/>
    <sheet name="明细报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" l="1"/>
  <c r="B33" i="2" s="1"/>
  <c r="J32" i="2"/>
  <c r="J33" i="2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2" i="2"/>
  <c r="G32" i="2"/>
  <c r="G33" i="2" s="1"/>
  <c r="I32" i="2"/>
  <c r="I33" i="2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  <c r="C32" i="2"/>
  <c r="C33" i="2" s="1"/>
  <c r="H32" i="2"/>
  <c r="H33" i="2" s="1"/>
  <c r="D32" i="2"/>
  <c r="D33" i="2" s="1"/>
  <c r="E32" i="2"/>
  <c r="E33" i="2" s="1"/>
  <c r="F32" i="2"/>
  <c r="F33" i="2" s="1"/>
</calcChain>
</file>

<file path=xl/sharedStrings.xml><?xml version="1.0" encoding="utf-8"?>
<sst xmlns="http://schemas.openxmlformats.org/spreadsheetml/2006/main" count="102" uniqueCount="72">
  <si>
    <t>[A] 时段专区活动曝光量的总和</t>
  </si>
  <si>
    <t>[A] 时段专区活动曝光量的均值</t>
  </si>
  <si>
    <t>[A] 时段专区活动曝光量的最大值</t>
  </si>
  <si>
    <t>[A] 时段专区活动曝光量的最小值</t>
  </si>
  <si>
    <t>[B] 时段专区活动曝光UV的总和</t>
  </si>
  <si>
    <t>[B] 时段专区活动曝光UV的均值</t>
  </si>
  <si>
    <t>[B] 时段专区活动曝光UV的最大值</t>
  </si>
  <si>
    <t>[B] 时段专区活动曝光UV的最小值</t>
  </si>
  <si>
    <t>[C] 时段专区活动点击量的总和</t>
  </si>
  <si>
    <t>[C] 时段专区活动点击量的均值</t>
  </si>
  <si>
    <t>[C] 时段专区活动点击量的最大值</t>
  </si>
  <si>
    <t>[C] 时段专区活动点击量的最小值</t>
  </si>
  <si>
    <t>[D] 时段专区点击UV的总和</t>
  </si>
  <si>
    <t>[D] 时段专区点击UV的均值</t>
  </si>
  <si>
    <t>[D] 时段专区点击UV的最大值</t>
  </si>
  <si>
    <t>[D] 时段专区点击UV的最小值</t>
  </si>
  <si>
    <t>[E] 时段专区活动CTR的总和</t>
  </si>
  <si>
    <t>[E] 时段专区活动CTR的均值</t>
  </si>
  <si>
    <t>[E] 时段专区活动CTR的最大值</t>
  </si>
  <si>
    <t>[E] 时段专区活动CTR的最小值</t>
  </si>
  <si>
    <t>[F] 时段专区活动CTR(用户)的总和</t>
  </si>
  <si>
    <t>[F] 时段专区活动CTR(用户)的均值</t>
  </si>
  <si>
    <t>[F] 时段专区活动CTR(用户)的最大值</t>
  </si>
  <si>
    <t>[F] 时段专区活动CTR(用户)的最小值</t>
  </si>
  <si>
    <t>行为时间</t>
  </si>
  <si>
    <t>[A] 时段专区活动曝光量</t>
  </si>
  <si>
    <t>[B] 时段专区活动曝光UV</t>
  </si>
  <si>
    <t>[C] 时段专区活动点击量</t>
  </si>
  <si>
    <t>[D] 时段专区点击UV</t>
  </si>
  <si>
    <t>[E] 时段专区活动CTR</t>
  </si>
  <si>
    <t>[F] 时段专区活动CTR(用户)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</si>
  <si>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</si>
  <si>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</si>
  <si>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</si>
  <si>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</si>
  <si>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</si>
  <si>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</si>
  <si>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</si>
  <si>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</si>
  <si>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</si>
  <si>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</si>
  <si>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</si>
  <si>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</si>
  <si>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</si>
  <si>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</si>
  <si>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</si>
  <si>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</si>
  <si>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</si>
  <si>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</si>
  <si>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</si>
  <si>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</si>
  <si>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</si>
  <si>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</si>
  <si>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</si>
  <si>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</si>
  <si>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</si>
  <si>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</si>
  <si>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</si>
  <si>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</si>
  <si>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</si>
  <si>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</si>
  <si>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统计指标</t>
  </si>
  <si>
    <t>时段专区活动曝光量</t>
    <phoneticPr fontId="2" type="noConversion"/>
  </si>
  <si>
    <t>时段专区活动曝光UV</t>
    <phoneticPr fontId="2" type="noConversion"/>
  </si>
  <si>
    <t>时段专区活动点击量</t>
    <phoneticPr fontId="2" type="noConversion"/>
  </si>
  <si>
    <t>时段专区点击UV</t>
    <phoneticPr fontId="2" type="noConversion"/>
  </si>
  <si>
    <t xml:space="preserve"> 时段专区活动CTR(用户)</t>
    <phoneticPr fontId="2" type="noConversion"/>
  </si>
  <si>
    <t>T检验</t>
    <phoneticPr fontId="2" type="noConversion"/>
  </si>
  <si>
    <t>DAU</t>
    <phoneticPr fontId="2" type="noConversion"/>
  </si>
  <si>
    <t>dau-时段专区曝光转化</t>
    <phoneticPr fontId="2" type="noConversion"/>
  </si>
  <si>
    <t>dau-时段专区点击转化</t>
    <phoneticPr fontId="2" type="noConversion"/>
  </si>
  <si>
    <t>时段专区活动CTR(次数)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</si>
</sst>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76" formatCode="0.000"/>
    <numFmt numFmtId="177" formatCode="0.0"/>
    <numFmt numFmtId="179" formatCode="_(* #,##0_);_(* \(#,##0\);_(* &quot;-&quot;??_);_(@_)"/>
  </numFmts>
  <fonts count="3">
    <font>
      <sz val="11"/>
      <color indexed="8"/>
      <name val="等线"/>
      <family val="2"/>
      <scheme val="minor"/>
    </font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/>
      <right style="thick">
        <color auto="1"/>
      </right>
      <top/>
      <bottom style="double">
        <color indexed="8"/>
      </bottom>
      <diagonal/>
    </border>
    <border>
      <left/>
      <right style="thick">
        <color auto="1"/>
      </right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/>
    <xf numFmtId="177" fontId="0" fillId="0" borderId="0" xfId="0" applyNumberFormat="1"/>
    <xf numFmtId="0" fontId="0" fillId="2" borderId="2" xfId="0" applyFill="1" applyBorder="1"/>
    <xf numFmtId="0" fontId="0" fillId="0" borderId="1" xfId="0" applyBorder="1"/>
    <xf numFmtId="0" fontId="0" fillId="2" borderId="3" xfId="0" applyFill="1" applyBorder="1"/>
    <xf numFmtId="179" fontId="0" fillId="0" borderId="0" xfId="1" applyNumberFormat="1" applyFont="1">
      <alignment vertical="center"/>
    </xf>
    <xf numFmtId="10" fontId="0" fillId="0" borderId="0" xfId="2" applyNumberFormat="1" applyFont="1">
      <alignment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workbookViewId="0"/>
  </sheetViews>
  <sheetFormatPr baseColWidth="10" defaultColWidth="8.83203125" defaultRowHeight="15"/>
  <cols>
    <col min="1" max="2" width="27.33203125" bestFit="1" customWidth="1"/>
    <col min="3" max="4" width="29.1640625" bestFit="1" customWidth="1"/>
    <col min="5" max="6" width="27.83203125" bestFit="1" customWidth="1"/>
    <col min="7" max="8" width="29.6640625" bestFit="1" customWidth="1"/>
    <col min="9" max="10" width="27.33203125" bestFit="1" customWidth="1"/>
    <col min="11" max="12" width="29.1640625" bestFit="1" customWidth="1"/>
    <col min="13" max="14" width="24.1640625" bestFit="1" customWidth="1"/>
    <col min="15" max="16" width="26" bestFit="1" customWidth="1"/>
    <col min="17" max="18" width="25.1640625" bestFit="1" customWidth="1"/>
    <col min="19" max="20" width="27" bestFit="1" customWidth="1"/>
    <col min="21" max="22" width="31.1640625" bestFit="1" customWidth="1"/>
    <col min="23" max="24" width="33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27024496</v>
      </c>
      <c r="B2" s="1">
        <v>900816.53300000005</v>
      </c>
      <c r="C2">
        <v>1298981</v>
      </c>
      <c r="D2">
        <v>631457</v>
      </c>
      <c r="E2">
        <v>608112</v>
      </c>
      <c r="F2" s="2">
        <v>20270.400000000001</v>
      </c>
      <c r="G2">
        <v>29771</v>
      </c>
      <c r="H2">
        <v>14784</v>
      </c>
      <c r="I2">
        <v>1150293</v>
      </c>
      <c r="J2" s="2">
        <v>38343.1</v>
      </c>
      <c r="K2">
        <v>61138</v>
      </c>
      <c r="L2">
        <v>26505</v>
      </c>
      <c r="M2">
        <v>420821</v>
      </c>
      <c r="N2" s="1">
        <v>14027.367</v>
      </c>
      <c r="O2">
        <v>22188</v>
      </c>
      <c r="P2">
        <v>9744</v>
      </c>
      <c r="Q2">
        <v>4.2599999999999999E-2</v>
      </c>
      <c r="R2">
        <v>4.2270000000000002E-2</v>
      </c>
      <c r="S2">
        <v>4.7800000000000002E-2</v>
      </c>
      <c r="T2">
        <v>3.56E-2</v>
      </c>
      <c r="U2">
        <v>0.69200000000000006</v>
      </c>
      <c r="V2">
        <v>0.68581999999999999</v>
      </c>
      <c r="W2">
        <v>0.74530000000000007</v>
      </c>
      <c r="X2">
        <v>0.63020000000000009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tabSelected="1" workbookViewId="0">
      <selection activeCell="C8" sqref="C8"/>
    </sheetView>
  </sheetViews>
  <sheetFormatPr baseColWidth="10" defaultColWidth="8.83203125" defaultRowHeight="15"/>
  <cols>
    <col min="1" max="1" width="12" bestFit="1" customWidth="1"/>
    <col min="2" max="2" width="13" bestFit="1" customWidth="1"/>
    <col min="3" max="3" width="19.1640625" bestFit="1" customWidth="1"/>
    <col min="4" max="4" width="19.6640625" bestFit="1" customWidth="1"/>
    <col min="5" max="5" width="19.1640625" bestFit="1" customWidth="1"/>
    <col min="6" max="6" width="15.6640625" bestFit="1" customWidth="1"/>
    <col min="7" max="7" width="21.83203125" bestFit="1" customWidth="1"/>
    <col min="8" max="8" width="22.33203125" bestFit="1" customWidth="1"/>
    <col min="9" max="10" width="21.33203125" bestFit="1" customWidth="1"/>
  </cols>
  <sheetData>
    <row r="1" spans="1:10">
      <c r="A1" t="s">
        <v>24</v>
      </c>
      <c r="B1" t="s">
        <v>68</v>
      </c>
      <c r="C1" t="s">
        <v>62</v>
      </c>
      <c r="D1" t="s">
        <v>63</v>
      </c>
      <c r="E1" t="s">
        <v>64</v>
      </c>
      <c r="F1" t="s">
        <v>65</v>
      </c>
      <c r="G1" t="s">
        <v>71</v>
      </c>
      <c r="H1" t="s">
        <v>66</v>
      </c>
      <c r="I1" t="s">
        <v>69</v>
      </c>
      <c r="J1" t="s">
        <v>70</v>
      </c>
    </row>
    <row r="2" spans="1:10">
      <c r="A2" t="s">
        <v>31</v>
      </c>
      <c r="B2" s="6">
        <v>1025141</v>
      </c>
      <c r="C2" s="6">
        <v>640560</v>
      </c>
      <c r="D2" s="6">
        <v>15972</v>
      </c>
      <c r="E2" s="6">
        <v>28130</v>
      </c>
      <c r="F2" s="6">
        <v>10573</v>
      </c>
      <c r="G2" s="7">
        <v>4.3899999999999995E-2</v>
      </c>
      <c r="H2" s="7">
        <v>0.66200000000000003</v>
      </c>
      <c r="I2" s="7">
        <f>D2/B2</f>
        <v>1.558029578370195E-2</v>
      </c>
      <c r="J2" s="7">
        <f>F2/B2</f>
        <v>1.0313703188146801E-2</v>
      </c>
    </row>
    <row r="3" spans="1:10">
      <c r="A3" t="s">
        <v>32</v>
      </c>
      <c r="B3" s="6">
        <v>1027057</v>
      </c>
      <c r="C3" s="6">
        <v>650717</v>
      </c>
      <c r="D3" s="6">
        <v>16019</v>
      </c>
      <c r="E3" s="6">
        <v>28406</v>
      </c>
      <c r="F3" s="6">
        <v>10629</v>
      </c>
      <c r="G3" s="7">
        <v>4.3700000000000003E-2</v>
      </c>
      <c r="H3" s="7">
        <v>0.66349999999999998</v>
      </c>
      <c r="I3" s="7">
        <f t="shared" ref="I3:I33" si="0">D3/B3</f>
        <v>1.5596992182517621E-2</v>
      </c>
      <c r="J3" s="7">
        <f t="shared" ref="J3:J33" si="1">F3/B3</f>
        <v>1.0348987446655833E-2</v>
      </c>
    </row>
    <row r="4" spans="1:10">
      <c r="A4" t="s">
        <v>33</v>
      </c>
      <c r="B4" s="6">
        <v>1046793</v>
      </c>
      <c r="C4" s="6">
        <v>695644</v>
      </c>
      <c r="D4" s="6">
        <v>16322</v>
      </c>
      <c r="E4" s="6">
        <v>30026</v>
      </c>
      <c r="F4" s="6">
        <v>10950</v>
      </c>
      <c r="G4" s="7">
        <v>4.3200000000000002E-2</v>
      </c>
      <c r="H4" s="7">
        <v>0.67090000000000005</v>
      </c>
      <c r="I4" s="7">
        <f t="shared" si="0"/>
        <v>1.5592385505061651E-2</v>
      </c>
      <c r="J4" s="7">
        <f t="shared" si="1"/>
        <v>1.0460520847961344E-2</v>
      </c>
    </row>
    <row r="5" spans="1:10">
      <c r="A5" t="s">
        <v>34</v>
      </c>
      <c r="B5" s="6">
        <v>963320</v>
      </c>
      <c r="C5" s="6">
        <v>631457</v>
      </c>
      <c r="D5" s="6">
        <v>14960</v>
      </c>
      <c r="E5" s="6">
        <v>26505</v>
      </c>
      <c r="F5" s="6">
        <v>9757</v>
      </c>
      <c r="G5" s="7">
        <v>4.2000000000000003E-2</v>
      </c>
      <c r="H5" s="7">
        <v>0.6522</v>
      </c>
      <c r="I5" s="7">
        <f t="shared" si="0"/>
        <v>1.5529626707636092E-2</v>
      </c>
      <c r="J5" s="7">
        <f t="shared" si="1"/>
        <v>1.0128513889465599E-2</v>
      </c>
    </row>
    <row r="6" spans="1:10">
      <c r="A6" t="s">
        <v>35</v>
      </c>
      <c r="B6" s="6">
        <v>940618</v>
      </c>
      <c r="C6" s="6">
        <v>651567</v>
      </c>
      <c r="D6" s="6">
        <v>14784</v>
      </c>
      <c r="E6" s="6">
        <v>27160</v>
      </c>
      <c r="F6" s="6">
        <v>9744</v>
      </c>
      <c r="G6" s="7">
        <v>4.1700000000000001E-2</v>
      </c>
      <c r="H6" s="7">
        <v>0.65910000000000002</v>
      </c>
      <c r="I6" s="7">
        <f t="shared" si="0"/>
        <v>1.5717326268474555E-2</v>
      </c>
      <c r="J6" s="7">
        <f t="shared" si="1"/>
        <v>1.0359146858767321E-2</v>
      </c>
    </row>
    <row r="7" spans="1:10">
      <c r="A7" t="s">
        <v>36</v>
      </c>
      <c r="B7" s="6">
        <v>982649</v>
      </c>
      <c r="C7" s="6">
        <v>657141</v>
      </c>
      <c r="D7" s="6">
        <v>15087</v>
      </c>
      <c r="E7" s="6">
        <v>26682</v>
      </c>
      <c r="F7" s="6">
        <v>9998</v>
      </c>
      <c r="G7" s="7">
        <v>4.0599999999999997E-2</v>
      </c>
      <c r="H7" s="7">
        <v>0.66269999999999996</v>
      </c>
      <c r="I7" s="7">
        <f t="shared" si="0"/>
        <v>1.5353396787662735E-2</v>
      </c>
      <c r="J7" s="7">
        <f t="shared" si="1"/>
        <v>1.0174538416057005E-2</v>
      </c>
    </row>
    <row r="8" spans="1:10">
      <c r="A8" t="s">
        <v>37</v>
      </c>
      <c r="B8" s="6">
        <v>1012497</v>
      </c>
      <c r="C8" s="6">
        <v>676760</v>
      </c>
      <c r="D8" s="6">
        <v>15935</v>
      </c>
      <c r="E8" s="6">
        <v>27725</v>
      </c>
      <c r="F8" s="6">
        <v>10438</v>
      </c>
      <c r="G8" s="7">
        <v>4.0999999999999995E-2</v>
      </c>
      <c r="H8" s="7">
        <v>0.65500000000000003</v>
      </c>
      <c r="I8" s="7">
        <f t="shared" si="0"/>
        <v>1.5738318236992309E-2</v>
      </c>
      <c r="J8" s="7">
        <f t="shared" si="1"/>
        <v>1.0309166348147204E-2</v>
      </c>
    </row>
    <row r="9" spans="1:10">
      <c r="A9" t="s">
        <v>38</v>
      </c>
      <c r="B9" s="6">
        <v>1034929</v>
      </c>
      <c r="C9" s="6">
        <v>719548</v>
      </c>
      <c r="D9" s="6">
        <v>16239</v>
      </c>
      <c r="E9" s="6">
        <v>28723</v>
      </c>
      <c r="F9" s="6">
        <v>10688</v>
      </c>
      <c r="G9" s="7">
        <v>3.9900000000000005E-2</v>
      </c>
      <c r="H9" s="7">
        <v>0.6581999999999999</v>
      </c>
      <c r="I9" s="7">
        <f t="shared" si="0"/>
        <v>1.5690931455201274E-2</v>
      </c>
      <c r="J9" s="7">
        <f t="shared" si="1"/>
        <v>1.032727848963552E-2</v>
      </c>
    </row>
    <row r="10" spans="1:10">
      <c r="A10" t="s">
        <v>39</v>
      </c>
      <c r="B10" s="6">
        <v>1049886</v>
      </c>
      <c r="C10" s="6">
        <v>741992</v>
      </c>
      <c r="D10" s="6">
        <v>16974</v>
      </c>
      <c r="E10" s="6">
        <v>30762</v>
      </c>
      <c r="F10" s="6">
        <v>11365</v>
      </c>
      <c r="G10" s="7">
        <v>4.1500000000000002E-2</v>
      </c>
      <c r="H10" s="7">
        <v>0.66959999999999997</v>
      </c>
      <c r="I10" s="7">
        <f t="shared" si="0"/>
        <v>1.6167469610986335E-2</v>
      </c>
      <c r="J10" s="7">
        <f t="shared" si="1"/>
        <v>1.082498480787438E-2</v>
      </c>
    </row>
    <row r="11" spans="1:10">
      <c r="A11" t="s">
        <v>40</v>
      </c>
      <c r="B11" s="6">
        <v>1051826</v>
      </c>
      <c r="C11" s="6">
        <v>743554</v>
      </c>
      <c r="D11" s="6">
        <v>16775</v>
      </c>
      <c r="E11" s="6">
        <v>30528</v>
      </c>
      <c r="F11" s="6">
        <v>11300</v>
      </c>
      <c r="G11" s="7">
        <v>4.1100000000000005E-2</v>
      </c>
      <c r="H11" s="7">
        <v>0.67359999999999998</v>
      </c>
      <c r="I11" s="7">
        <f t="shared" si="0"/>
        <v>1.5948455352881561E-2</v>
      </c>
      <c r="J11" s="7">
        <f t="shared" si="1"/>
        <v>1.0743221787634077E-2</v>
      </c>
    </row>
    <row r="12" spans="1:10">
      <c r="A12" t="s">
        <v>41</v>
      </c>
      <c r="B12" s="6">
        <v>1073896</v>
      </c>
      <c r="C12" s="6">
        <v>825969</v>
      </c>
      <c r="D12" s="6">
        <v>18093</v>
      </c>
      <c r="E12" s="6">
        <v>34151</v>
      </c>
      <c r="F12" s="6">
        <v>12172</v>
      </c>
      <c r="G12" s="7">
        <v>4.1299999999999996E-2</v>
      </c>
      <c r="H12" s="7">
        <v>0.67269999999999996</v>
      </c>
      <c r="I12" s="7">
        <f t="shared" si="0"/>
        <v>1.6848000178788264E-2</v>
      </c>
      <c r="J12" s="7">
        <f t="shared" si="1"/>
        <v>1.133443089461177E-2</v>
      </c>
    </row>
    <row r="13" spans="1:10">
      <c r="A13" t="s">
        <v>42</v>
      </c>
      <c r="B13" s="6">
        <v>1060812</v>
      </c>
      <c r="C13" s="6">
        <v>836903</v>
      </c>
      <c r="D13" s="6">
        <v>17823</v>
      </c>
      <c r="E13" s="6">
        <v>33438</v>
      </c>
      <c r="F13" s="6">
        <v>12024</v>
      </c>
      <c r="G13" s="7">
        <v>0.04</v>
      </c>
      <c r="H13" s="7">
        <v>0.67459999999999998</v>
      </c>
      <c r="I13" s="7">
        <f t="shared" si="0"/>
        <v>1.6801280528500807E-2</v>
      </c>
      <c r="J13" s="7">
        <f t="shared" si="1"/>
        <v>1.1334713408219364E-2</v>
      </c>
    </row>
    <row r="14" spans="1:10">
      <c r="A14" t="s">
        <v>43</v>
      </c>
      <c r="B14" s="6">
        <v>1047296</v>
      </c>
      <c r="C14" s="6">
        <v>785076</v>
      </c>
      <c r="D14" s="6">
        <v>17352</v>
      </c>
      <c r="E14" s="6">
        <v>31251</v>
      </c>
      <c r="F14" s="6">
        <v>11636</v>
      </c>
      <c r="G14" s="7">
        <v>3.9800000000000002E-2</v>
      </c>
      <c r="H14" s="7">
        <v>0.67060000000000008</v>
      </c>
      <c r="I14" s="7">
        <f t="shared" si="0"/>
        <v>1.6568381813737473E-2</v>
      </c>
      <c r="J14" s="7">
        <f t="shared" si="1"/>
        <v>1.1110516988511366E-2</v>
      </c>
    </row>
    <row r="15" spans="1:10">
      <c r="A15" t="s">
        <v>44</v>
      </c>
      <c r="B15" s="6">
        <v>1059691</v>
      </c>
      <c r="C15" s="6">
        <v>837243</v>
      </c>
      <c r="D15" s="6">
        <v>17924</v>
      </c>
      <c r="E15" s="6">
        <v>33277</v>
      </c>
      <c r="F15" s="6">
        <v>12024</v>
      </c>
      <c r="G15" s="7">
        <v>3.9700000000000006E-2</v>
      </c>
      <c r="H15" s="7">
        <v>0.67079999999999995</v>
      </c>
      <c r="I15" s="7">
        <f t="shared" si="0"/>
        <v>1.6914364659131764E-2</v>
      </c>
      <c r="J15" s="7">
        <f t="shared" si="1"/>
        <v>1.1346703897645635E-2</v>
      </c>
    </row>
    <row r="16" spans="1:10">
      <c r="A16" t="s">
        <v>45</v>
      </c>
      <c r="B16" s="6">
        <v>1063359</v>
      </c>
      <c r="C16" s="6">
        <v>836762</v>
      </c>
      <c r="D16" s="6">
        <v>17611</v>
      </c>
      <c r="E16" s="6">
        <v>32535</v>
      </c>
      <c r="F16" s="6">
        <v>11652</v>
      </c>
      <c r="G16" s="7">
        <v>3.8900000000000004E-2</v>
      </c>
      <c r="H16" s="7">
        <v>0.66159999999999997</v>
      </c>
      <c r="I16" s="7">
        <f t="shared" si="0"/>
        <v>1.6561669201088251E-2</v>
      </c>
      <c r="J16" s="7">
        <f t="shared" si="1"/>
        <v>1.095772923349499E-2</v>
      </c>
    </row>
    <row r="17" spans="1:10">
      <c r="A17" t="s">
        <v>46</v>
      </c>
      <c r="B17" s="6">
        <v>1080885</v>
      </c>
      <c r="C17" s="6">
        <v>870432</v>
      </c>
      <c r="D17" s="6">
        <v>18482</v>
      </c>
      <c r="E17" s="6">
        <v>34207</v>
      </c>
      <c r="F17" s="6">
        <v>12324</v>
      </c>
      <c r="G17" s="7">
        <v>3.9300000000000002E-2</v>
      </c>
      <c r="H17" s="7">
        <v>0.66680000000000006</v>
      </c>
      <c r="I17" s="7">
        <f t="shared" si="0"/>
        <v>1.709895132229608E-2</v>
      </c>
      <c r="J17" s="7">
        <f t="shared" si="1"/>
        <v>1.1401767995670215E-2</v>
      </c>
    </row>
    <row r="18" spans="1:10">
      <c r="A18" t="s">
        <v>47</v>
      </c>
      <c r="B18" s="6">
        <v>1079823</v>
      </c>
      <c r="C18" s="6">
        <v>871404</v>
      </c>
      <c r="D18" s="6">
        <v>18972</v>
      </c>
      <c r="E18" s="6">
        <v>34655</v>
      </c>
      <c r="F18" s="6">
        <v>12619</v>
      </c>
      <c r="G18" s="7">
        <v>3.9800000000000002E-2</v>
      </c>
      <c r="H18" s="7">
        <v>0.66510000000000002</v>
      </c>
      <c r="I18" s="7">
        <f t="shared" si="0"/>
        <v>1.7569546120058566E-2</v>
      </c>
      <c r="J18" s="7">
        <f t="shared" si="1"/>
        <v>1.1686174493412346E-2</v>
      </c>
    </row>
    <row r="19" spans="1:10">
      <c r="A19" t="s">
        <v>48</v>
      </c>
      <c r="B19" s="6">
        <v>1076018</v>
      </c>
      <c r="C19" s="6">
        <v>930609</v>
      </c>
      <c r="D19" s="6">
        <v>19693</v>
      </c>
      <c r="E19" s="6">
        <v>36805</v>
      </c>
      <c r="F19" s="6">
        <v>13184</v>
      </c>
      <c r="G19" s="7">
        <v>3.95E-2</v>
      </c>
      <c r="H19" s="7">
        <v>0.6695000000000001</v>
      </c>
      <c r="I19" s="7">
        <f t="shared" si="0"/>
        <v>1.8301738446754607E-2</v>
      </c>
      <c r="J19" s="7">
        <f t="shared" si="1"/>
        <v>1.2252583135226362E-2</v>
      </c>
    </row>
    <row r="20" spans="1:10">
      <c r="A20" t="s">
        <v>49</v>
      </c>
      <c r="B20" s="6">
        <v>1077413</v>
      </c>
      <c r="C20" s="6">
        <v>954060</v>
      </c>
      <c r="D20" s="6">
        <v>20491</v>
      </c>
      <c r="E20" s="6">
        <v>39288</v>
      </c>
      <c r="F20" s="6">
        <v>14311</v>
      </c>
      <c r="G20" s="7">
        <v>4.1200000000000001E-2</v>
      </c>
      <c r="H20" s="7">
        <v>0.69840000000000002</v>
      </c>
      <c r="I20" s="7">
        <f t="shared" si="0"/>
        <v>1.9018704990565363E-2</v>
      </c>
      <c r="J20" s="7">
        <f t="shared" si="1"/>
        <v>1.3282743014981255E-2</v>
      </c>
    </row>
    <row r="21" spans="1:10">
      <c r="A21" t="s">
        <v>50</v>
      </c>
      <c r="B21" s="6">
        <v>1078629</v>
      </c>
      <c r="C21" s="6">
        <v>936602</v>
      </c>
      <c r="D21" s="6">
        <v>21067</v>
      </c>
      <c r="E21" s="6">
        <v>40525</v>
      </c>
      <c r="F21" s="6">
        <v>14844</v>
      </c>
      <c r="G21" s="7">
        <v>4.3299999999999998E-2</v>
      </c>
      <c r="H21" s="7">
        <v>0.7046</v>
      </c>
      <c r="I21" s="7">
        <f t="shared" si="0"/>
        <v>1.9531275350468048E-2</v>
      </c>
      <c r="J21" s="7">
        <f t="shared" si="1"/>
        <v>1.3761914430262862E-2</v>
      </c>
    </row>
    <row r="22" spans="1:10">
      <c r="A22" t="s">
        <v>51</v>
      </c>
      <c r="B22" s="6">
        <v>1107274</v>
      </c>
      <c r="C22" s="6">
        <v>1051570</v>
      </c>
      <c r="D22" s="6">
        <v>24649</v>
      </c>
      <c r="E22" s="6">
        <v>48356</v>
      </c>
      <c r="F22" s="6">
        <v>17872</v>
      </c>
      <c r="G22" s="7">
        <v>4.5999999999999999E-2</v>
      </c>
      <c r="H22" s="7">
        <v>0.72510000000000008</v>
      </c>
      <c r="I22" s="7">
        <f t="shared" si="0"/>
        <v>2.2260976054707327E-2</v>
      </c>
      <c r="J22" s="7">
        <f t="shared" si="1"/>
        <v>1.6140539739937902E-2</v>
      </c>
    </row>
    <row r="23" spans="1:10">
      <c r="A23" t="s">
        <v>52</v>
      </c>
      <c r="B23" s="6">
        <v>1124733</v>
      </c>
      <c r="C23" s="6">
        <v>1101245</v>
      </c>
      <c r="D23" s="6">
        <v>26288</v>
      </c>
      <c r="E23" s="6">
        <v>52638</v>
      </c>
      <c r="F23" s="6">
        <v>19177</v>
      </c>
      <c r="G23" s="7">
        <v>4.7800000000000002E-2</v>
      </c>
      <c r="H23" s="7">
        <v>0.72950000000000004</v>
      </c>
      <c r="I23" s="7">
        <f t="shared" si="0"/>
        <v>2.3372658221995798E-2</v>
      </c>
      <c r="J23" s="7">
        <f t="shared" si="1"/>
        <v>1.7050268819355348E-2</v>
      </c>
    </row>
    <row r="24" spans="1:10">
      <c r="A24" t="s">
        <v>53</v>
      </c>
      <c r="B24" s="6">
        <v>1110732</v>
      </c>
      <c r="C24" s="6">
        <v>1112988</v>
      </c>
      <c r="D24" s="6">
        <v>26232</v>
      </c>
      <c r="E24" s="6">
        <v>51628</v>
      </c>
      <c r="F24" s="6">
        <v>19142</v>
      </c>
      <c r="G24" s="7">
        <v>4.6399999999999997E-2</v>
      </c>
      <c r="H24" s="7">
        <v>0.72970000000000002</v>
      </c>
      <c r="I24" s="7">
        <f t="shared" si="0"/>
        <v>2.3616858071974157E-2</v>
      </c>
      <c r="J24" s="7">
        <f t="shared" si="1"/>
        <v>1.7233680131660923E-2</v>
      </c>
    </row>
    <row r="25" spans="1:10">
      <c r="A25" t="s">
        <v>54</v>
      </c>
      <c r="B25" s="6">
        <v>1104298</v>
      </c>
      <c r="C25" s="6">
        <v>1139493</v>
      </c>
      <c r="D25" s="6">
        <v>26135</v>
      </c>
      <c r="E25" s="6">
        <v>51458</v>
      </c>
      <c r="F25" s="6">
        <v>19266</v>
      </c>
      <c r="G25" s="7">
        <v>4.5199999999999997E-2</v>
      </c>
      <c r="H25" s="7">
        <v>0.73719999999999997</v>
      </c>
      <c r="I25" s="7">
        <f t="shared" si="0"/>
        <v>2.3666618974226158E-2</v>
      </c>
      <c r="J25" s="7">
        <f t="shared" si="1"/>
        <v>1.7446377698773337E-2</v>
      </c>
    </row>
    <row r="26" spans="1:10">
      <c r="A26" t="s">
        <v>55</v>
      </c>
      <c r="B26" s="6">
        <v>1099469</v>
      </c>
      <c r="C26" s="6">
        <v>1156818</v>
      </c>
      <c r="D26" s="6">
        <v>26210</v>
      </c>
      <c r="E26" s="6">
        <v>52527</v>
      </c>
      <c r="F26" s="6">
        <v>19137</v>
      </c>
      <c r="G26" s="7">
        <v>4.5400000000000003E-2</v>
      </c>
      <c r="H26" s="7">
        <v>0.73010000000000008</v>
      </c>
      <c r="I26" s="7">
        <f t="shared" si="0"/>
        <v>2.3838780356699462E-2</v>
      </c>
      <c r="J26" s="7">
        <f t="shared" si="1"/>
        <v>1.7405674921257445E-2</v>
      </c>
    </row>
    <row r="27" spans="1:10">
      <c r="A27" t="s">
        <v>56</v>
      </c>
      <c r="B27" s="6">
        <v>1093101</v>
      </c>
      <c r="C27" s="6">
        <v>1200466</v>
      </c>
      <c r="D27" s="6">
        <v>26736</v>
      </c>
      <c r="E27" s="6">
        <v>53358</v>
      </c>
      <c r="F27" s="6">
        <v>19281</v>
      </c>
      <c r="G27" s="7">
        <v>4.4400000000000002E-2</v>
      </c>
      <c r="H27" s="7">
        <v>0.72120000000000006</v>
      </c>
      <c r="I27" s="7">
        <f t="shared" si="0"/>
        <v>2.4458856043494608E-2</v>
      </c>
      <c r="J27" s="7">
        <f t="shared" si="1"/>
        <v>1.7638809222569551E-2</v>
      </c>
    </row>
    <row r="28" spans="1:10">
      <c r="A28" t="s">
        <v>57</v>
      </c>
      <c r="B28" s="6">
        <v>1090497</v>
      </c>
      <c r="C28" s="6">
        <v>1150314</v>
      </c>
      <c r="D28" s="6">
        <v>26738</v>
      </c>
      <c r="E28" s="6">
        <v>53051</v>
      </c>
      <c r="F28" s="6">
        <v>19585</v>
      </c>
      <c r="G28" s="7">
        <v>4.6100000000000002E-2</v>
      </c>
      <c r="H28" s="7">
        <v>0.73250000000000004</v>
      </c>
      <c r="I28" s="7">
        <f t="shared" si="0"/>
        <v>2.4519095421628855E-2</v>
      </c>
      <c r="J28" s="7">
        <f t="shared" si="1"/>
        <v>1.7959700943698149E-2</v>
      </c>
    </row>
    <row r="29" spans="1:10">
      <c r="A29" t="s">
        <v>58</v>
      </c>
      <c r="B29" s="6">
        <v>1128296</v>
      </c>
      <c r="C29" s="6">
        <v>1298981</v>
      </c>
      <c r="D29" s="6">
        <v>29771</v>
      </c>
      <c r="E29" s="6">
        <v>61138</v>
      </c>
      <c r="F29" s="6">
        <v>22188</v>
      </c>
      <c r="G29" s="7">
        <v>4.7100000000000003E-2</v>
      </c>
      <c r="H29" s="7">
        <v>0.74530000000000007</v>
      </c>
      <c r="I29" s="7">
        <f t="shared" si="0"/>
        <v>2.6385806561398783E-2</v>
      </c>
      <c r="J29" s="7">
        <f t="shared" si="1"/>
        <v>1.9665052433049484E-2</v>
      </c>
    </row>
    <row r="30" spans="1:10">
      <c r="A30" t="s">
        <v>59</v>
      </c>
      <c r="B30" s="6">
        <v>1121036</v>
      </c>
      <c r="C30" s="6">
        <v>1231238</v>
      </c>
      <c r="D30" s="6">
        <v>26836</v>
      </c>
      <c r="E30" s="6">
        <v>52634</v>
      </c>
      <c r="F30" s="6">
        <v>19113</v>
      </c>
      <c r="G30" s="7">
        <v>4.2699999999999995E-2</v>
      </c>
      <c r="H30" s="7">
        <v>0.71220000000000006</v>
      </c>
      <c r="I30" s="7">
        <f t="shared" si="0"/>
        <v>2.3938571107439903E-2</v>
      </c>
      <c r="J30" s="7">
        <f t="shared" si="1"/>
        <v>1.7049407869149609E-2</v>
      </c>
    </row>
    <row r="31" spans="1:10">
      <c r="A31" t="s">
        <v>60</v>
      </c>
      <c r="B31" s="6">
        <v>1060883</v>
      </c>
      <c r="C31" s="6">
        <v>1087383</v>
      </c>
      <c r="D31" s="6">
        <v>21942</v>
      </c>
      <c r="E31" s="6">
        <v>38726</v>
      </c>
      <c r="F31" s="6">
        <v>13828</v>
      </c>
      <c r="G31" s="7">
        <v>3.56E-2</v>
      </c>
      <c r="H31" s="7">
        <v>0.63020000000000009</v>
      </c>
      <c r="I31" s="7">
        <f t="shared" si="0"/>
        <v>2.0682770861631301E-2</v>
      </c>
      <c r="J31" s="7">
        <f t="shared" si="1"/>
        <v>1.3034425096829717E-2</v>
      </c>
    </row>
    <row r="32" spans="1:10">
      <c r="A32" t="s">
        <v>67</v>
      </c>
      <c r="B32">
        <f>_xlfn.T.TEST(B7:B13,B21:B27,2,2)</f>
        <v>3.327672757348503E-4</v>
      </c>
      <c r="C32">
        <f>_xlfn.T.TEST(C7:C13,C21:C27,2,2)</f>
        <v>1.7580890605143384E-6</v>
      </c>
      <c r="D32">
        <f t="shared" ref="D32:H32" si="2">_xlfn.T.TEST(D7:D13,D21:D27,2,2)</f>
        <v>3.1064352621991936E-7</v>
      </c>
      <c r="E32">
        <f t="shared" si="2"/>
        <v>4.1584639225649751E-7</v>
      </c>
      <c r="F32">
        <f t="shared" si="2"/>
        <v>2.1430436741546081E-7</v>
      </c>
      <c r="G32">
        <f>_xlfn.T.TEST(G7:G13,G21:G27,2,2)</f>
        <v>4.003108416071575E-6</v>
      </c>
      <c r="H32">
        <f t="shared" si="2"/>
        <v>5.4265516007821002E-8</v>
      </c>
      <c r="I32">
        <f t="shared" ref="I32:J32" si="3">_xlfn.T.TEST(I7:I13,I21:I27,2,2)</f>
        <v>2.2625697950910628E-7</v>
      </c>
      <c r="J32">
        <f t="shared" si="3"/>
        <v>1.5067349146176213E-7</v>
      </c>
    </row>
    <row r="33" spans="2:10">
      <c r="B33" t="str">
        <f>IF(B32&lt;0.05,"显著","不显著")</f>
        <v>显著</v>
      </c>
      <c r="C33" t="str">
        <f>IF(C32&lt;0.05,"显著","不显著")</f>
        <v>显著</v>
      </c>
      <c r="D33" t="str">
        <f t="shared" ref="D33:J33" si="4">IF(D32&lt;0.05,"显著","不显著")</f>
        <v>显著</v>
      </c>
      <c r="E33" t="str">
        <f t="shared" si="4"/>
        <v>显著</v>
      </c>
      <c r="F33" t="str">
        <f t="shared" si="4"/>
        <v>显著</v>
      </c>
      <c r="G33" t="str">
        <f t="shared" si="4"/>
        <v>显著</v>
      </c>
      <c r="H33" t="str">
        <f t="shared" si="4"/>
        <v>显著</v>
      </c>
      <c r="I33" t="str">
        <f t="shared" si="4"/>
        <v>显著</v>
      </c>
      <c r="J33" t="str">
        <f t="shared" si="4"/>
        <v>显著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7"/>
  <sheetViews>
    <sheetView workbookViewId="0"/>
  </sheetViews>
  <sheetFormatPr baseColWidth="10" defaultColWidth="8.83203125" defaultRowHeight="15"/>
  <cols>
    <col min="1" max="1" width="25.6640625" bestFit="1" customWidth="1"/>
    <col min="2" max="21" width="14.1640625" bestFit="1" customWidth="1"/>
    <col min="22" max="31" width="15.33203125" bestFit="1" customWidth="1"/>
  </cols>
  <sheetData>
    <row r="1" spans="1:31">
      <c r="A1" s="3" t="s">
        <v>61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42</v>
      </c>
      <c r="N1" s="4" t="s">
        <v>43</v>
      </c>
      <c r="O1" s="4" t="s">
        <v>44</v>
      </c>
      <c r="P1" s="4" t="s">
        <v>45</v>
      </c>
      <c r="Q1" s="4" t="s">
        <v>46</v>
      </c>
      <c r="R1" s="4" t="s">
        <v>47</v>
      </c>
      <c r="S1" s="4" t="s">
        <v>48</v>
      </c>
      <c r="T1" s="4" t="s">
        <v>49</v>
      </c>
      <c r="U1" s="4" t="s">
        <v>50</v>
      </c>
      <c r="V1" s="4" t="s">
        <v>51</v>
      </c>
      <c r="W1" s="4" t="s">
        <v>52</v>
      </c>
      <c r="X1" s="4" t="s">
        <v>53</v>
      </c>
      <c r="Y1" s="4" t="s">
        <v>54</v>
      </c>
      <c r="Z1" s="4" t="s">
        <v>55</v>
      </c>
      <c r="AA1" s="4" t="s">
        <v>56</v>
      </c>
      <c r="AB1" s="4" t="s">
        <v>57</v>
      </c>
      <c r="AC1" s="4" t="s">
        <v>58</v>
      </c>
      <c r="AD1" s="4" t="s">
        <v>59</v>
      </c>
      <c r="AE1" s="4" t="s">
        <v>60</v>
      </c>
    </row>
    <row r="2" spans="1:31">
      <c r="A2" s="5" t="s">
        <v>25</v>
      </c>
      <c r="B2">
        <v>640560</v>
      </c>
      <c r="C2">
        <v>650717</v>
      </c>
      <c r="D2">
        <v>695644</v>
      </c>
      <c r="E2">
        <v>631457</v>
      </c>
      <c r="F2">
        <v>651567</v>
      </c>
      <c r="G2">
        <v>657141</v>
      </c>
      <c r="H2">
        <v>676760</v>
      </c>
      <c r="I2">
        <v>719548</v>
      </c>
      <c r="J2">
        <v>741992</v>
      </c>
      <c r="K2">
        <v>743554</v>
      </c>
      <c r="L2">
        <v>825969</v>
      </c>
      <c r="M2">
        <v>836903</v>
      </c>
      <c r="N2">
        <v>785076</v>
      </c>
      <c r="O2">
        <v>837243</v>
      </c>
      <c r="P2">
        <v>836762</v>
      </c>
      <c r="Q2">
        <v>870432</v>
      </c>
      <c r="R2">
        <v>871404</v>
      </c>
      <c r="S2">
        <v>930609</v>
      </c>
      <c r="T2">
        <v>954060</v>
      </c>
      <c r="U2">
        <v>936602</v>
      </c>
      <c r="V2">
        <v>1051570</v>
      </c>
      <c r="W2">
        <v>1101245</v>
      </c>
      <c r="X2">
        <v>1112988</v>
      </c>
      <c r="Y2">
        <v>1139493</v>
      </c>
      <c r="Z2">
        <v>1156818</v>
      </c>
      <c r="AA2">
        <v>1200466</v>
      </c>
      <c r="AB2">
        <v>1150314</v>
      </c>
      <c r="AC2">
        <v>1298981</v>
      </c>
      <c r="AD2">
        <v>1231238</v>
      </c>
      <c r="AE2">
        <v>1087383</v>
      </c>
    </row>
    <row r="3" spans="1:31">
      <c r="A3" s="5" t="s">
        <v>26</v>
      </c>
      <c r="B3">
        <v>15972</v>
      </c>
      <c r="C3">
        <v>16019</v>
      </c>
      <c r="D3">
        <v>16322</v>
      </c>
      <c r="E3">
        <v>14960</v>
      </c>
      <c r="F3">
        <v>14784</v>
      </c>
      <c r="G3">
        <v>15087</v>
      </c>
      <c r="H3">
        <v>15935</v>
      </c>
      <c r="I3">
        <v>16239</v>
      </c>
      <c r="J3">
        <v>16974</v>
      </c>
      <c r="K3">
        <v>16775</v>
      </c>
      <c r="L3">
        <v>18093</v>
      </c>
      <c r="M3">
        <v>17823</v>
      </c>
      <c r="N3">
        <v>17352</v>
      </c>
      <c r="O3">
        <v>17924</v>
      </c>
      <c r="P3">
        <v>17611</v>
      </c>
      <c r="Q3">
        <v>18482</v>
      </c>
      <c r="R3">
        <v>18972</v>
      </c>
      <c r="S3">
        <v>19693</v>
      </c>
      <c r="T3">
        <v>20491</v>
      </c>
      <c r="U3">
        <v>21067</v>
      </c>
      <c r="V3">
        <v>24649</v>
      </c>
      <c r="W3">
        <v>26288</v>
      </c>
      <c r="X3">
        <v>26232</v>
      </c>
      <c r="Y3">
        <v>26135</v>
      </c>
      <c r="Z3">
        <v>26210</v>
      </c>
      <c r="AA3">
        <v>26736</v>
      </c>
      <c r="AB3">
        <v>26738</v>
      </c>
      <c r="AC3">
        <v>29771</v>
      </c>
      <c r="AD3">
        <v>26836</v>
      </c>
      <c r="AE3">
        <v>21942</v>
      </c>
    </row>
    <row r="4" spans="1:31">
      <c r="A4" s="5" t="s">
        <v>27</v>
      </c>
      <c r="B4">
        <v>28130</v>
      </c>
      <c r="C4">
        <v>28406</v>
      </c>
      <c r="D4">
        <v>30026</v>
      </c>
      <c r="E4">
        <v>26505</v>
      </c>
      <c r="F4">
        <v>27160</v>
      </c>
      <c r="G4">
        <v>26682</v>
      </c>
      <c r="H4">
        <v>27725</v>
      </c>
      <c r="I4">
        <v>28723</v>
      </c>
      <c r="J4">
        <v>30762</v>
      </c>
      <c r="K4">
        <v>30528</v>
      </c>
      <c r="L4">
        <v>34151</v>
      </c>
      <c r="M4">
        <v>33438</v>
      </c>
      <c r="N4">
        <v>31251</v>
      </c>
      <c r="O4">
        <v>33277</v>
      </c>
      <c r="P4">
        <v>32535</v>
      </c>
      <c r="Q4">
        <v>34207</v>
      </c>
      <c r="R4">
        <v>34655</v>
      </c>
      <c r="S4">
        <v>36805</v>
      </c>
      <c r="T4">
        <v>39288</v>
      </c>
      <c r="U4">
        <v>40525</v>
      </c>
      <c r="V4">
        <v>48356</v>
      </c>
      <c r="W4">
        <v>52638</v>
      </c>
      <c r="X4">
        <v>51628</v>
      </c>
      <c r="Y4">
        <v>51458</v>
      </c>
      <c r="Z4">
        <v>52527</v>
      </c>
      <c r="AA4">
        <v>53358</v>
      </c>
      <c r="AB4">
        <v>53051</v>
      </c>
      <c r="AC4">
        <v>61138</v>
      </c>
      <c r="AD4">
        <v>52634</v>
      </c>
      <c r="AE4">
        <v>38726</v>
      </c>
    </row>
    <row r="5" spans="1:31">
      <c r="A5" s="5" t="s">
        <v>28</v>
      </c>
      <c r="B5">
        <v>10573</v>
      </c>
      <c r="C5">
        <v>10629</v>
      </c>
      <c r="D5">
        <v>10950</v>
      </c>
      <c r="E5">
        <v>9757</v>
      </c>
      <c r="F5">
        <v>9744</v>
      </c>
      <c r="G5">
        <v>9998</v>
      </c>
      <c r="H5">
        <v>10438</v>
      </c>
      <c r="I5">
        <v>10688</v>
      </c>
      <c r="J5">
        <v>11365</v>
      </c>
      <c r="K5">
        <v>11300</v>
      </c>
      <c r="L5">
        <v>12172</v>
      </c>
      <c r="M5">
        <v>12024</v>
      </c>
      <c r="N5">
        <v>11636</v>
      </c>
      <c r="O5">
        <v>12024</v>
      </c>
      <c r="P5">
        <v>11652</v>
      </c>
      <c r="Q5">
        <v>12324</v>
      </c>
      <c r="R5">
        <v>12619</v>
      </c>
      <c r="S5">
        <v>13184</v>
      </c>
      <c r="T5">
        <v>14311</v>
      </c>
      <c r="U5">
        <v>14844</v>
      </c>
      <c r="V5">
        <v>17872</v>
      </c>
      <c r="W5">
        <v>19177</v>
      </c>
      <c r="X5">
        <v>19142</v>
      </c>
      <c r="Y5">
        <v>19266</v>
      </c>
      <c r="Z5">
        <v>19137</v>
      </c>
      <c r="AA5">
        <v>19281</v>
      </c>
      <c r="AB5">
        <v>19585</v>
      </c>
      <c r="AC5">
        <v>22188</v>
      </c>
      <c r="AD5">
        <v>19113</v>
      </c>
      <c r="AE5">
        <v>13828</v>
      </c>
    </row>
    <row r="6" spans="1:31">
      <c r="A6" s="5" t="s">
        <v>29</v>
      </c>
      <c r="B6">
        <v>4.3899999999999995E-2</v>
      </c>
      <c r="C6">
        <v>4.3700000000000003E-2</v>
      </c>
      <c r="D6">
        <v>4.3200000000000002E-2</v>
      </c>
      <c r="E6">
        <v>4.2000000000000003E-2</v>
      </c>
      <c r="F6">
        <v>4.1700000000000001E-2</v>
      </c>
      <c r="G6">
        <v>4.0599999999999997E-2</v>
      </c>
      <c r="H6">
        <v>4.0999999999999995E-2</v>
      </c>
      <c r="I6">
        <v>3.9900000000000005E-2</v>
      </c>
      <c r="J6">
        <v>4.1500000000000002E-2</v>
      </c>
      <c r="K6">
        <v>4.1100000000000005E-2</v>
      </c>
      <c r="L6">
        <v>4.1299999999999996E-2</v>
      </c>
      <c r="M6">
        <v>0.04</v>
      </c>
      <c r="N6">
        <v>3.9800000000000002E-2</v>
      </c>
      <c r="O6">
        <v>3.9700000000000006E-2</v>
      </c>
      <c r="P6">
        <v>3.8900000000000004E-2</v>
      </c>
      <c r="Q6">
        <v>3.9300000000000002E-2</v>
      </c>
      <c r="R6">
        <v>3.9800000000000002E-2</v>
      </c>
      <c r="S6">
        <v>3.95E-2</v>
      </c>
      <c r="T6">
        <v>4.1200000000000001E-2</v>
      </c>
      <c r="U6">
        <v>4.3299999999999998E-2</v>
      </c>
      <c r="V6">
        <v>4.5999999999999999E-2</v>
      </c>
      <c r="W6">
        <v>4.7800000000000002E-2</v>
      </c>
      <c r="X6">
        <v>4.6399999999999997E-2</v>
      </c>
      <c r="Y6">
        <v>4.5199999999999997E-2</v>
      </c>
      <c r="Z6">
        <v>4.5400000000000003E-2</v>
      </c>
      <c r="AA6">
        <v>4.4400000000000002E-2</v>
      </c>
      <c r="AB6">
        <v>4.6100000000000002E-2</v>
      </c>
      <c r="AC6">
        <v>4.7100000000000003E-2</v>
      </c>
      <c r="AD6">
        <v>4.2699999999999995E-2</v>
      </c>
      <c r="AE6">
        <v>3.56E-2</v>
      </c>
    </row>
    <row r="7" spans="1:31">
      <c r="A7" s="5" t="s">
        <v>30</v>
      </c>
      <c r="B7">
        <v>0.66200000000000003</v>
      </c>
      <c r="C7">
        <v>0.66349999999999998</v>
      </c>
      <c r="D7">
        <v>0.67090000000000005</v>
      </c>
      <c r="E7">
        <v>0.6522</v>
      </c>
      <c r="F7">
        <v>0.65910000000000002</v>
      </c>
      <c r="G7">
        <v>0.66269999999999996</v>
      </c>
      <c r="H7">
        <v>0.65500000000000003</v>
      </c>
      <c r="I7">
        <v>0.6581999999999999</v>
      </c>
      <c r="J7">
        <v>0.66959999999999997</v>
      </c>
      <c r="K7">
        <v>0.67359999999999998</v>
      </c>
      <c r="L7">
        <v>0.67269999999999996</v>
      </c>
      <c r="M7">
        <v>0.67459999999999998</v>
      </c>
      <c r="N7">
        <v>0.67060000000000008</v>
      </c>
      <c r="O7">
        <v>0.67079999999999995</v>
      </c>
      <c r="P7">
        <v>0.66159999999999997</v>
      </c>
      <c r="Q7">
        <v>0.66680000000000006</v>
      </c>
      <c r="R7">
        <v>0.66510000000000002</v>
      </c>
      <c r="S7">
        <v>0.6695000000000001</v>
      </c>
      <c r="T7">
        <v>0.69840000000000002</v>
      </c>
      <c r="U7">
        <v>0.7046</v>
      </c>
      <c r="V7">
        <v>0.72510000000000008</v>
      </c>
      <c r="W7">
        <v>0.72950000000000004</v>
      </c>
      <c r="X7">
        <v>0.72970000000000002</v>
      </c>
      <c r="Y7">
        <v>0.73719999999999997</v>
      </c>
      <c r="Z7">
        <v>0.73010000000000008</v>
      </c>
      <c r="AA7">
        <v>0.72120000000000006</v>
      </c>
      <c r="AB7">
        <v>0.73250000000000004</v>
      </c>
      <c r="AC7">
        <v>0.74530000000000007</v>
      </c>
      <c r="AD7">
        <v>0.71220000000000006</v>
      </c>
      <c r="AE7">
        <v>0.63020000000000009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汇总数据</vt:lpstr>
      <vt:lpstr>明细数据</vt:lpstr>
      <vt:lpstr>明细报表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d81189</cp:lastModifiedBy>
  <dcterms:created xsi:type="dcterms:W3CDTF">2026-05-11T07:16:14Z</dcterms:created>
  <dcterms:modified xsi:type="dcterms:W3CDTF">2026-05-12T03:36:57Z</dcterms:modified>
</cp:coreProperties>
</file>